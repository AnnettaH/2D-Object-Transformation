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it-my.sharepoint.com/personal/20105747_wit_ie/Documents/Desktop/"/>
    </mc:Choice>
  </mc:AlternateContent>
  <xr:revisionPtr revIDLastSave="4788" documentId="8_{96F18752-9AD9-4DF9-84CD-BB7E2D30AD47}" xr6:coauthVersionLast="47" xr6:coauthVersionMax="47" xr10:uidLastSave="{4B3FBC8B-7C93-49F8-ACD2-37F8987143EE}"/>
  <bookViews>
    <workbookView xWindow="-108" yWindow="-108" windowWidth="23256" windowHeight="12576" xr2:uid="{579E4C10-E7EB-4C23-BC42-290B613D9177}"/>
  </bookViews>
  <sheets>
    <sheet name="Object" sheetId="1" r:id="rId1"/>
    <sheet name="Interface" sheetId="3" r:id="rId2"/>
    <sheet name="Transform" sheetId="2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C3" i="2" s="1"/>
  <c r="M3" i="2" s="1"/>
  <c r="E1" i="1"/>
  <c r="C2" i="2" s="1"/>
  <c r="M2" i="2" s="1"/>
  <c r="E30" i="1"/>
  <c r="D30" i="1"/>
  <c r="F30" i="1"/>
  <c r="C30" i="1"/>
  <c r="B30" i="1"/>
  <c r="F29" i="1"/>
  <c r="E29" i="1"/>
  <c r="D29" i="1"/>
  <c r="C29" i="1"/>
  <c r="B29" i="1"/>
  <c r="D25" i="1"/>
  <c r="C25" i="1"/>
  <c r="F25" i="1"/>
  <c r="E25" i="1"/>
  <c r="B25" i="1"/>
  <c r="F24" i="1"/>
  <c r="E24" i="1"/>
  <c r="D24" i="1"/>
  <c r="C24" i="1"/>
  <c r="B24" i="1"/>
  <c r="F20" i="1"/>
  <c r="E20" i="1"/>
  <c r="D20" i="1"/>
  <c r="C20" i="1"/>
  <c r="B20" i="1"/>
  <c r="F19" i="1"/>
  <c r="E19" i="1"/>
  <c r="D19" i="1"/>
  <c r="C19" i="1"/>
  <c r="B19" i="1"/>
  <c r="H15" i="1"/>
  <c r="G15" i="1"/>
  <c r="F15" i="1"/>
  <c r="E15" i="1"/>
  <c r="D15" i="1"/>
  <c r="C15" i="1"/>
  <c r="B15" i="1"/>
  <c r="H14" i="1"/>
  <c r="G14" i="1"/>
  <c r="F14" i="1"/>
  <c r="E14" i="1"/>
  <c r="D14" i="1"/>
  <c r="C14" i="1"/>
  <c r="B14" i="1"/>
  <c r="F10" i="1"/>
  <c r="E10" i="1"/>
  <c r="D10" i="1"/>
  <c r="C10" i="1"/>
  <c r="F9" i="1"/>
  <c r="E9" i="1"/>
  <c r="D9" i="1"/>
  <c r="C9" i="1"/>
  <c r="E3" i="2"/>
  <c r="F2" i="2" s="1"/>
  <c r="E2" i="2"/>
  <c r="F3" i="2" s="1"/>
  <c r="A7" i="2" l="1" a="1"/>
  <c r="A7" i="2" s="1"/>
  <c r="E7" i="2" s="1" a="1"/>
  <c r="E7" i="2" s="1"/>
  <c r="K23" i="1" s="1" a="1"/>
  <c r="K23" i="1" s="1"/>
  <c r="K13" i="1" l="1" a="1"/>
  <c r="K13" i="1" s="1"/>
  <c r="K18" i="1" a="1"/>
  <c r="K18" i="1" s="1"/>
  <c r="K28" i="1" a="1"/>
  <c r="K28" i="1" s="1"/>
  <c r="K9" i="1" a="1"/>
  <c r="K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<sst xmlns="http://schemas.openxmlformats.org/spreadsheetml/2006/main" count="61" uniqueCount="43">
  <si>
    <t>Length</t>
  </si>
  <si>
    <t>Width</t>
  </si>
  <si>
    <t>Tail</t>
  </si>
  <si>
    <t>a</t>
  </si>
  <si>
    <t>d</t>
  </si>
  <si>
    <t>c</t>
  </si>
  <si>
    <t>b</t>
  </si>
  <si>
    <t>x</t>
  </si>
  <si>
    <t>y</t>
  </si>
  <si>
    <t>Fuselage</t>
  </si>
  <si>
    <t>e</t>
  </si>
  <si>
    <t>j</t>
  </si>
  <si>
    <t>i</t>
  </si>
  <si>
    <t>h</t>
  </si>
  <si>
    <t>g</t>
  </si>
  <si>
    <t>f</t>
  </si>
  <si>
    <t>Nose</t>
  </si>
  <si>
    <t>s</t>
  </si>
  <si>
    <t>t</t>
  </si>
  <si>
    <t>Wing1</t>
  </si>
  <si>
    <t>n</t>
  </si>
  <si>
    <t>k</t>
  </si>
  <si>
    <t>l</t>
  </si>
  <si>
    <t>m</t>
  </si>
  <si>
    <t>Wing2</t>
  </si>
  <si>
    <t>r</t>
  </si>
  <si>
    <t>o</t>
  </si>
  <si>
    <t>p</t>
  </si>
  <si>
    <t>q</t>
  </si>
  <si>
    <t>Centre of Rotation:</t>
  </si>
  <si>
    <t>cx</t>
  </si>
  <si>
    <t>cy</t>
  </si>
  <si>
    <t>Angle</t>
  </si>
  <si>
    <t>3 X 2</t>
  </si>
  <si>
    <t xml:space="preserve">3 x 2 x1 </t>
  </si>
  <si>
    <t>Tail'</t>
  </si>
  <si>
    <t>Fuselage'</t>
  </si>
  <si>
    <t>Nose'</t>
  </si>
  <si>
    <t>Wing1'</t>
  </si>
  <si>
    <t>Wing2'</t>
  </si>
  <si>
    <t>Spin</t>
  </si>
  <si>
    <t>Controls</t>
  </si>
  <si>
    <t>Boundary 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</si>
</sst>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20" fontId="0" fillId="5" borderId="0" xfId="0" applyNumberFormat="1" applyFill="1" applyAlignment="1">
      <alignment horizontal="center"/>
    </xf>
    <xf numFmtId="0" fontId="0" fillId="5" borderId="0" xfId="0" applyFill="1" applyAlignment="1">
      <alignment horizontal="right"/>
    </xf>
    <xf numFmtId="0" fontId="0" fillId="6" borderId="0" xfId="0" applyFill="1"/>
    <xf numFmtId="0" fontId="0" fillId="6" borderId="0" xfId="0" applyFill="1" applyAlignment="1">
      <alignment horizontal="center"/>
    </xf>
    <xf numFmtId="164" fontId="0" fillId="6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1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5.3464856948130114E-2"/>
          <c:y val="7.4834114836768995E-2"/>
          <c:w val="0.88508573928258971"/>
          <c:h val="0.85935323835965594"/>
        </c:manualLayout>
      </c:layout>
      <c:scatterChart>
        <c:scatterStyle val="lineMarker"/>
        <c:varyColors val="0"/>
        <c:ser>
          <c:idx val="6"/>
          <c:order val="0"/>
          <c:tx>
            <c:strRef>
              <c:f>Object!$K$12</c:f>
              <c:strCache>
                <c:ptCount val="1"/>
                <c:pt idx="0">
                  <c:v>Fuselage'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Object!$K$13:$Q$13</c:f>
              <c:numCache>
                <c:formatCode>General</c:formatCode>
                <c:ptCount val="7"/>
                <c:pt idx="0">
                  <c:v>1013.847652447309</c:v>
                </c:pt>
                <c:pt idx="1">
                  <c:v>1024.0391770580891</c:v>
                </c:pt>
                <c:pt idx="2">
                  <c:v>1115.4788115269507</c:v>
                </c:pt>
                <c:pt idx="3">
                  <c:v>1151.9126218004151</c:v>
                </c:pt>
                <c:pt idx="4">
                  <c:v>1060.4729873315534</c:v>
                </c:pt>
                <c:pt idx="5">
                  <c:v>1034.0886581547891</c:v>
                </c:pt>
                <c:pt idx="6">
                  <c:v>1013.847652447309</c:v>
                </c:pt>
              </c:numCache>
            </c:numRef>
          </c:xVal>
          <c:yVal>
            <c:numRef>
              <c:f>Object!$K$14:$Q$14</c:f>
              <c:numCache>
                <c:formatCode>General</c:formatCode>
                <c:ptCount val="7"/>
                <c:pt idx="0">
                  <c:v>953.34105735018613</c:v>
                </c:pt>
                <c:pt idx="1">
                  <c:v>979.72538652695073</c:v>
                </c:pt>
                <c:pt idx="2">
                  <c:v>1020.2073979419109</c:v>
                </c:pt>
                <c:pt idx="3">
                  <c:v>937.9117269199354</c:v>
                </c:pt>
                <c:pt idx="4">
                  <c:v>897.42971550497521</c:v>
                </c:pt>
                <c:pt idx="5">
                  <c:v>907.62124011575554</c:v>
                </c:pt>
                <c:pt idx="6">
                  <c:v>953.34105735018613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A6-40C4-A874-8405EFE46590}"/>
            </c:ext>
          </c:extLst>
        </c:ser>
        <c:ser>
          <c:idx val="7"/>
          <c:order val="1"/>
          <c:tx>
            <c:strRef>
              <c:f>Object!$K$17</c:f>
              <c:strCache>
                <c:ptCount val="1"/>
                <c:pt idx="0">
                  <c:v>Nose'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Object!$K$18:$O$18</c:f>
              <c:numCache>
                <c:formatCode>General</c:formatCode>
                <c:ptCount val="5"/>
                <c:pt idx="0">
                  <c:v>1115.4788115269507</c:v>
                </c:pt>
                <c:pt idx="1">
                  <c:v>1164.1992687389836</c:v>
                </c:pt>
                <c:pt idx="2">
                  <c:v>1178.3679727342196</c:v>
                </c:pt>
                <c:pt idx="3">
                  <c:v>1178.3679727342196</c:v>
                </c:pt>
                <c:pt idx="4">
                  <c:v>1151.9126218004151</c:v>
                </c:pt>
              </c:numCache>
            </c:numRef>
          </c:xVal>
          <c:yVal>
            <c:numRef>
              <c:f>Object!$K$19:$O$19</c:f>
              <c:numCache>
                <c:formatCode>General</c:formatCode>
                <c:ptCount val="5"/>
                <c:pt idx="0">
                  <c:v>1020.2073979419109</c:v>
                </c:pt>
                <c:pt idx="1">
                  <c:v>1008.9683121672366</c:v>
                </c:pt>
                <c:pt idx="2">
                  <c:v>976.96444010313496</c:v>
                </c:pt>
                <c:pt idx="3">
                  <c:v>976.96444010313496</c:v>
                </c:pt>
                <c:pt idx="4">
                  <c:v>937.9117269199354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A6-40C4-A874-8405EFE46590}"/>
            </c:ext>
          </c:extLst>
        </c:ser>
        <c:ser>
          <c:idx val="8"/>
          <c:order val="2"/>
          <c:tx>
            <c:strRef>
              <c:f>Object!$K$22</c:f>
              <c:strCache>
                <c:ptCount val="1"/>
                <c:pt idx="0">
                  <c:v>Wing1'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Object!$K$23:$O$23</c:f>
              <c:numCache>
                <c:formatCode>General</c:formatCode>
                <c:ptCount val="5"/>
                <c:pt idx="0">
                  <c:v>1041.9222838377118</c:v>
                </c:pt>
                <c:pt idx="1">
                  <c:v>994.20144907881604</c:v>
                </c:pt>
                <c:pt idx="2">
                  <c:v>1026.2053211429175</c:v>
                </c:pt>
                <c:pt idx="3">
                  <c:v>1078.4981376252565</c:v>
                </c:pt>
                <c:pt idx="4">
                  <c:v>1078.4981376252565</c:v>
                </c:pt>
              </c:numCache>
            </c:numRef>
          </c:xVal>
          <c:yVal>
            <c:numRef>
              <c:f>Object!$K$24:$O$24</c:f>
              <c:numCache>
                <c:formatCode>General</c:formatCode>
                <c:ptCount val="5"/>
                <c:pt idx="0">
                  <c:v>988.73618515463124</c:v>
                </c:pt>
                <c:pt idx="1">
                  <c:v>1059.4731763962309</c:v>
                </c:pt>
                <c:pt idx="2">
                  <c:v>1073.6418803914671</c:v>
                </c:pt>
                <c:pt idx="3">
                  <c:v>1004.9289897206155</c:v>
                </c:pt>
                <c:pt idx="4">
                  <c:v>1004.9289897206155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A6-40C4-A874-8405EFE46590}"/>
            </c:ext>
          </c:extLst>
        </c:ser>
        <c:ser>
          <c:idx val="9"/>
          <c:order val="3"/>
          <c:tx>
            <c:strRef>
              <c:f>Object!$K$27</c:f>
              <c:strCache>
                <c:ptCount val="1"/>
                <c:pt idx="0">
                  <c:v>Wing2'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Object!$K$28:$O$28</c:f>
              <c:numCache>
                <c:formatCode>General</c:formatCode>
                <c:ptCount val="5"/>
                <c:pt idx="0">
                  <c:v>1078.7609142253257</c:v>
                </c:pt>
                <c:pt idx="1">
                  <c:v>1115.3367680128704</c:v>
                </c:pt>
                <c:pt idx="2">
                  <c:v>1135.5067519633103</c:v>
                </c:pt>
                <c:pt idx="3">
                  <c:v>1108.074861622652</c:v>
                </c:pt>
                <c:pt idx="4">
                  <c:v>1078.7609142253257</c:v>
                </c:pt>
              </c:numCache>
            </c:numRef>
          </c:xVal>
          <c:yVal>
            <c:numRef>
              <c:f>Object!$K$29:$O$29</c:f>
              <c:numCache>
                <c:formatCode>General</c:formatCode>
                <c:ptCount val="5"/>
                <c:pt idx="0">
                  <c:v>905.52611778796711</c:v>
                </c:pt>
                <c:pt idx="1">
                  <c:v>921.71892235395137</c:v>
                </c:pt>
                <c:pt idx="2">
                  <c:v>826.75486732554066</c:v>
                </c:pt>
                <c:pt idx="3">
                  <c:v>814.61026390105269</c:v>
                </c:pt>
                <c:pt idx="4">
                  <c:v>905.52611778796711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4A6-40C4-A874-8405EFE46590}"/>
            </c:ext>
          </c:extLst>
        </c:ser>
        <c:ser>
          <c:idx val="1"/>
          <c:order val="4"/>
          <c:tx>
            <c:strRef>
              <c:f>Object!$K$8</c:f>
              <c:strCache>
                <c:ptCount val="1"/>
                <c:pt idx="0">
                  <c:v>Tail'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Object!$K$9:$O$9</c:f>
              <c:numCache>
                <c:formatCode>General</c:formatCode>
                <c:ptCount val="5"/>
                <c:pt idx="0">
                  <c:v>1023.8971335440087</c:v>
                </c:pt>
                <c:pt idx="1">
                  <c:v>1042.1850604377812</c:v>
                </c:pt>
                <c:pt idx="2">
                  <c:v>1002.1078691369705</c:v>
                </c:pt>
                <c:pt idx="3">
                  <c:v>983.81994224319806</c:v>
                </c:pt>
                <c:pt idx="4">
                  <c:v>1023.8971335440087</c:v>
                </c:pt>
              </c:numCache>
            </c:numRef>
          </c:xVal>
          <c:yVal>
            <c:numRef>
              <c:f>Object!$K$10:$O$10</c:f>
              <c:numCache>
                <c:formatCode>General</c:formatCode>
                <c:ptCount val="5"/>
                <c:pt idx="0">
                  <c:v>881.23691093899095</c:v>
                </c:pt>
                <c:pt idx="1">
                  <c:v>889.33331322198308</c:v>
                </c:pt>
                <c:pt idx="2">
                  <c:v>979.8585513461561</c:v>
                </c:pt>
                <c:pt idx="3">
                  <c:v>971.76214906316397</c:v>
                </c:pt>
                <c:pt idx="4">
                  <c:v>881.23691093899095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D9-4AB1-BE62-07F6CB4B5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3774384"/>
        <c:axId val="2033772304"/>
      </c:scatterChart>
      <c:valAx>
        <c:axId val="2033774384"/>
        <c:scaling>
          <c:orientation val="minMax"/>
          <c:max val="900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2033772304"/>
        <c:crosses val="autoZero"/>
        <c:crossBetween val="midCat"/>
        <c:majorUnit val="1000"/>
      </c:valAx>
      <c:valAx>
        <c:axId val="2033772304"/>
        <c:scaling>
          <c:orientation val="minMax"/>
          <c:max val="50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2033774384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blipFill dpi="0" rotWithShape="1">
      <a:blip xmlns:r="http://schemas.openxmlformats.org/officeDocument/2006/relationships" r:embed="rId4">
        <a:alphaModFix amt="50000"/>
      </a:blip>
      <a:srcRect/>
      <a:stretch>
        <a:fillRect/>
      </a:stretch>
    </a:blipFill>
    <a:ln w="57150" cap="flat" cmpd="sng" algn="ctr">
      <a:solidFill>
        <a:srgbClr val="5B9BD5">
          <a:lumMod val="60000"/>
          <a:lumOff val="40000"/>
        </a:srgbClr>
      </a:solidFill>
      <a:prstDash val="solid"/>
      <a:round/>
    </a:ln>
    <a:effectLst>
      <a:glow rad="101600">
        <a:srgbClr val="4472C4">
          <a:satMod val="175000"/>
          <a:alpha val="40000"/>
        </a:srgbClr>
      </a:glow>
    </a:effectLst>
  </c:spPr>
  <c:txPr>
    <a:bodyPr/>
    <a:lstStyle/>
    <a:p>
      <a:pPr>
        <a:defRPr>
          <a:effectLst>
            <a:glow rad="101600">
              <a:schemeClr val="accent1">
                <a:satMod val="175000"/>
                <a:alpha val="40000"/>
              </a:schemeClr>
            </a:glo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B$6" inc="10" max="360" page="1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3</xdr:row>
      <xdr:rowOff>91440</xdr:rowOff>
    </xdr:from>
    <xdr:to>
      <xdr:col>17</xdr:col>
      <xdr:colOff>388620</xdr:colOff>
      <xdr:row>25</xdr:row>
      <xdr:rowOff>137160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0A7760F-18FE-41BD-A7E3-9BF551C95D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15</xdr:row>
          <xdr:rowOff>15240</xdr:rowOff>
        </xdr:from>
        <xdr:to>
          <xdr:col>5</xdr:col>
          <xdr:colOff>15240</xdr:colOff>
          <xdr:row>19</xdr:row>
          <xdr:rowOff>106680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10</xdr:row>
          <xdr:rowOff>160020</xdr:rowOff>
        </xdr:from>
        <xdr:to>
          <xdr:col>4</xdr:col>
          <xdr:colOff>220980</xdr:colOff>
          <xdr:row>13</xdr:row>
          <xdr:rowOff>53340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bee_line_1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6</xdr:row>
          <xdr:rowOff>60960</xdr:rowOff>
        </xdr:from>
        <xdr:to>
          <xdr:col>5</xdr:col>
          <xdr:colOff>220980</xdr:colOff>
          <xdr:row>7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Fly Out</a:t>
              </a: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9</xdr:row>
          <xdr:rowOff>68580</xdr:rowOff>
        </xdr:from>
        <xdr:to>
          <xdr:col>5</xdr:col>
          <xdr:colOff>228600</xdr:colOff>
          <xdr:row>10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Flight</a:t>
              </a: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7</xdr:row>
          <xdr:rowOff>152400</xdr:rowOff>
        </xdr:from>
        <xdr:to>
          <xdr:col>5</xdr:col>
          <xdr:colOff>228600</xdr:colOff>
          <xdr:row>9</xdr:row>
          <xdr:rowOff>22860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Flight</a:t>
              </a: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10</xdr:row>
          <xdr:rowOff>152400</xdr:rowOff>
        </xdr:from>
        <xdr:to>
          <xdr:col>5</xdr:col>
          <xdr:colOff>403860</xdr:colOff>
          <xdr:row>13</xdr:row>
          <xdr:rowOff>60960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bee_line_2</a:t>
              </a: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1053E-ADC8-45C9-BD88-2374A92A643C}">
  <sheetPr codeName="Sheet1"/>
  <dimension ref="A1:Q31"/>
  <sheetViews>
    <sheetView tabSelected="1" workbookViewId="0">
      <selection activeCell="H6" sqref="H6"/>
    </sheetView>
  </sheetViews>
  <sheetFormatPr defaultRowHeight="14.4" x14ac:dyDescent="0.3"/>
  <cols>
    <col min="3" max="3" width="11.77734375" customWidth="1"/>
  </cols>
  <sheetData>
    <row r="1" spans="1:17" x14ac:dyDescent="0.3">
      <c r="A1" s="6" t="s">
        <v>0</v>
      </c>
      <c r="B1" s="6">
        <v>330</v>
      </c>
      <c r="C1" s="6"/>
      <c r="D1" s="6" t="s">
        <v>30</v>
      </c>
      <c r="E1" s="6">
        <f>B9+90</f>
        <v>1090</v>
      </c>
    </row>
    <row r="2" spans="1:17" x14ac:dyDescent="0.3">
      <c r="A2" s="6" t="s">
        <v>1</v>
      </c>
      <c r="B2" s="6">
        <v>280</v>
      </c>
      <c r="C2" s="6"/>
      <c r="D2" s="6" t="s">
        <v>31</v>
      </c>
      <c r="E2" s="6">
        <f>B10+40</f>
        <v>954.24657500000001</v>
      </c>
    </row>
    <row r="3" spans="1:17" x14ac:dyDescent="0.3">
      <c r="A3" s="6"/>
      <c r="B3" s="6"/>
      <c r="C3" s="7" t="s">
        <v>42</v>
      </c>
      <c r="D3" s="6"/>
      <c r="E3" s="6"/>
    </row>
    <row r="4" spans="1:17" x14ac:dyDescent="0.3">
      <c r="A4" s="7">
        <v>0</v>
      </c>
      <c r="B4" s="7">
        <v>330</v>
      </c>
      <c r="C4" s="7">
        <v>330</v>
      </c>
      <c r="D4" s="7">
        <v>0</v>
      </c>
      <c r="E4" s="7">
        <v>0</v>
      </c>
    </row>
    <row r="5" spans="1:17" x14ac:dyDescent="0.3">
      <c r="A5" s="7">
        <v>0</v>
      </c>
      <c r="B5" s="7">
        <v>0</v>
      </c>
      <c r="C5" s="7">
        <v>280</v>
      </c>
      <c r="D5" s="7">
        <v>280</v>
      </c>
      <c r="E5" s="7">
        <v>0</v>
      </c>
    </row>
    <row r="8" spans="1:17" x14ac:dyDescent="0.3">
      <c r="A8" s="1" t="s">
        <v>2</v>
      </c>
      <c r="B8" s="8" t="s">
        <v>3</v>
      </c>
      <c r="C8" s="8" t="s">
        <v>4</v>
      </c>
      <c r="D8" s="8" t="s">
        <v>5</v>
      </c>
      <c r="E8" s="8" t="s">
        <v>6</v>
      </c>
      <c r="F8" s="8" t="s">
        <v>3</v>
      </c>
      <c r="K8" t="s">
        <v>35</v>
      </c>
    </row>
    <row r="9" spans="1:17" x14ac:dyDescent="0.3">
      <c r="A9" s="1" t="s">
        <v>7</v>
      </c>
      <c r="B9" s="8">
        <v>1000</v>
      </c>
      <c r="C9" s="8">
        <f>B9+20</f>
        <v>1020</v>
      </c>
      <c r="D9" s="8">
        <f>B9+20</f>
        <v>1020</v>
      </c>
      <c r="E9" s="8">
        <f>B9</f>
        <v>1000</v>
      </c>
      <c r="F9" s="8">
        <f>B9</f>
        <v>1000</v>
      </c>
      <c r="K9" s="10" cm="1">
        <f t="array" ref="K9:O11">MMULT(_xlfn.ANCHORARRAY(Transform!E7),Object!B9:F11)</f>
        <v>1023.8971335440087</v>
      </c>
      <c r="L9" s="10">
        <v>1042.1850604377812</v>
      </c>
      <c r="M9" s="10">
        <v>1002.1078691369705</v>
      </c>
      <c r="N9" s="10">
        <v>983.81994224319806</v>
      </c>
      <c r="O9" s="10">
        <v>1023.8971335440087</v>
      </c>
    </row>
    <row r="10" spans="1:17" x14ac:dyDescent="0.3">
      <c r="A10" s="1" t="s">
        <v>8</v>
      </c>
      <c r="B10" s="8">
        <v>914.24657500000001</v>
      </c>
      <c r="C10" s="8">
        <f>B10</f>
        <v>914.24657500000001</v>
      </c>
      <c r="D10" s="8">
        <f>B10+99</f>
        <v>1013.246575</v>
      </c>
      <c r="E10" s="8">
        <f>B10+99</f>
        <v>1013.246575</v>
      </c>
      <c r="F10" s="8">
        <f>B10</f>
        <v>914.24657500000001</v>
      </c>
      <c r="K10" s="10">
        <v>881.23691093899095</v>
      </c>
      <c r="L10" s="10">
        <v>889.33331322198308</v>
      </c>
      <c r="M10" s="10">
        <v>979.8585513461561</v>
      </c>
      <c r="N10" s="10">
        <v>971.76214906316397</v>
      </c>
      <c r="O10" s="10">
        <v>881.23691093899095</v>
      </c>
    </row>
    <row r="11" spans="1:17" x14ac:dyDescent="0.3">
      <c r="A11" s="1">
        <v>1</v>
      </c>
      <c r="B11" s="8">
        <v>1</v>
      </c>
      <c r="C11" s="8">
        <v>1</v>
      </c>
      <c r="D11" s="8">
        <v>1</v>
      </c>
      <c r="E11" s="8">
        <v>1</v>
      </c>
      <c r="F11" s="8">
        <v>1</v>
      </c>
      <c r="K11" s="10">
        <v>1</v>
      </c>
      <c r="L11" s="10">
        <v>1</v>
      </c>
      <c r="M11" s="10">
        <v>1</v>
      </c>
      <c r="N11" s="10">
        <v>1</v>
      </c>
      <c r="O11" s="10">
        <v>1</v>
      </c>
    </row>
    <row r="12" spans="1:17" x14ac:dyDescent="0.3">
      <c r="K12" t="s">
        <v>36</v>
      </c>
    </row>
    <row r="13" spans="1:17" x14ac:dyDescent="0.3">
      <c r="A13" s="1" t="s">
        <v>9</v>
      </c>
      <c r="B13" s="2" t="s">
        <v>10</v>
      </c>
      <c r="C13" s="2" t="s">
        <v>11</v>
      </c>
      <c r="D13" s="2" t="s">
        <v>12</v>
      </c>
      <c r="E13" s="2" t="s">
        <v>13</v>
      </c>
      <c r="F13" s="2" t="s">
        <v>14</v>
      </c>
      <c r="G13" s="2" t="s">
        <v>15</v>
      </c>
      <c r="H13" s="2" t="s">
        <v>10</v>
      </c>
      <c r="K13" s="14" cm="1">
        <f t="array" ref="K13:Q15">MMULT(Transform!E7:G9,Object!B14:H16)</f>
        <v>1013.847652447309</v>
      </c>
      <c r="L13" s="14">
        <v>1024.0391770580891</v>
      </c>
      <c r="M13" s="14">
        <v>1115.4788115269507</v>
      </c>
      <c r="N13" s="14">
        <v>1151.9126218004151</v>
      </c>
      <c r="O13" s="14">
        <v>1060.4729873315534</v>
      </c>
      <c r="P13" s="14">
        <v>1034.0886581547891</v>
      </c>
      <c r="Q13" s="14">
        <v>1013.847652447309</v>
      </c>
    </row>
    <row r="14" spans="1:17" x14ac:dyDescent="0.3">
      <c r="A14" s="1" t="s">
        <v>7</v>
      </c>
      <c r="B14" s="2">
        <f>B9+20</f>
        <v>1020</v>
      </c>
      <c r="C14" s="2">
        <f>B9+40</f>
        <v>1040</v>
      </c>
      <c r="D14" s="2">
        <f>B9+140</f>
        <v>1140</v>
      </c>
      <c r="E14" s="2">
        <f>B9+140</f>
        <v>1140</v>
      </c>
      <c r="F14" s="2">
        <f>B9+40</f>
        <v>1040</v>
      </c>
      <c r="G14" s="2">
        <f>B9+20</f>
        <v>1020</v>
      </c>
      <c r="H14" s="2">
        <f>B9+20</f>
        <v>1020</v>
      </c>
      <c r="K14" s="14">
        <v>953.34105735018613</v>
      </c>
      <c r="L14" s="14">
        <v>979.72538652695073</v>
      </c>
      <c r="M14" s="14">
        <v>1020.2073979419109</v>
      </c>
      <c r="N14" s="14">
        <v>937.9117269199354</v>
      </c>
      <c r="O14" s="14">
        <v>897.42971550497521</v>
      </c>
      <c r="P14" s="14">
        <v>907.62124011575554</v>
      </c>
      <c r="Q14" s="14">
        <v>953.34105735018613</v>
      </c>
    </row>
    <row r="15" spans="1:17" x14ac:dyDescent="0.3">
      <c r="A15" s="1" t="s">
        <v>8</v>
      </c>
      <c r="B15" s="2">
        <f>B10+70</f>
        <v>984.24657500000001</v>
      </c>
      <c r="C15" s="2">
        <f>B10+90</f>
        <v>1004.246575</v>
      </c>
      <c r="D15" s="2">
        <f>B10+90</f>
        <v>1004.246575</v>
      </c>
      <c r="E15" s="2">
        <f>B10</f>
        <v>914.24657500000001</v>
      </c>
      <c r="F15" s="2">
        <f>B10</f>
        <v>914.24657500000001</v>
      </c>
      <c r="G15" s="2">
        <f>B10+20</f>
        <v>934.24657500000001</v>
      </c>
      <c r="H15" s="2">
        <f>B10+70</f>
        <v>984.24657500000001</v>
      </c>
      <c r="K15" s="14">
        <v>1</v>
      </c>
      <c r="L15" s="14">
        <v>1</v>
      </c>
      <c r="M15" s="14">
        <v>1</v>
      </c>
      <c r="N15" s="14">
        <v>1</v>
      </c>
      <c r="O15" s="14">
        <v>1</v>
      </c>
      <c r="P15" s="14">
        <v>1</v>
      </c>
      <c r="Q15" s="14">
        <v>1</v>
      </c>
    </row>
    <row r="16" spans="1:17" x14ac:dyDescent="0.3">
      <c r="A16" s="1">
        <v>1</v>
      </c>
      <c r="B16" s="2">
        <v>1</v>
      </c>
      <c r="C16" s="2">
        <v>1</v>
      </c>
      <c r="D16" s="2">
        <v>1</v>
      </c>
      <c r="E16" s="2">
        <v>1</v>
      </c>
      <c r="F16" s="2">
        <v>1</v>
      </c>
      <c r="G16" s="3">
        <v>1</v>
      </c>
      <c r="H16" s="3">
        <v>1</v>
      </c>
    </row>
    <row r="17" spans="1:15" x14ac:dyDescent="0.3">
      <c r="K17" t="s">
        <v>37</v>
      </c>
    </row>
    <row r="18" spans="1:15" x14ac:dyDescent="0.3">
      <c r="A18" s="1" t="s">
        <v>16</v>
      </c>
      <c r="B18" s="4" t="s">
        <v>12</v>
      </c>
      <c r="C18" s="4" t="s">
        <v>17</v>
      </c>
      <c r="D18" s="4" t="s">
        <v>18</v>
      </c>
      <c r="E18" s="4" t="s">
        <v>13</v>
      </c>
      <c r="F18" s="4" t="s">
        <v>12</v>
      </c>
      <c r="K18" s="6" cm="1">
        <f t="array" ref="K18:O20">MMULT(Transform!E7:G9,Object!B19:F21)</f>
        <v>1115.4788115269507</v>
      </c>
      <c r="L18" s="6">
        <v>1164.1992687389836</v>
      </c>
      <c r="M18" s="6">
        <v>1178.3679727342196</v>
      </c>
      <c r="N18" s="6">
        <v>1178.3679727342196</v>
      </c>
      <c r="O18" s="6">
        <v>1151.9126218004151</v>
      </c>
    </row>
    <row r="19" spans="1:15" x14ac:dyDescent="0.3">
      <c r="A19" s="1" t="s">
        <v>7</v>
      </c>
      <c r="B19" s="5">
        <f>B9+140</f>
        <v>1140</v>
      </c>
      <c r="C19" s="5">
        <f>B9+180</f>
        <v>1180</v>
      </c>
      <c r="D19" s="5">
        <f>B9+180</f>
        <v>1180</v>
      </c>
      <c r="E19" s="5">
        <f>B9+180</f>
        <v>1180</v>
      </c>
      <c r="F19" s="5">
        <f>B9+140</f>
        <v>1140</v>
      </c>
      <c r="K19" s="6">
        <v>1020.2073979419109</v>
      </c>
      <c r="L19" s="6">
        <v>1008.9683121672366</v>
      </c>
      <c r="M19" s="6">
        <v>976.96444010313496</v>
      </c>
      <c r="N19" s="6">
        <v>976.96444010313496</v>
      </c>
      <c r="O19" s="6">
        <v>937.9117269199354</v>
      </c>
    </row>
    <row r="20" spans="1:15" x14ac:dyDescent="0.3">
      <c r="A20" s="1" t="s">
        <v>8</v>
      </c>
      <c r="B20" s="5">
        <f>B10+90</f>
        <v>1004.246575</v>
      </c>
      <c r="C20" s="5">
        <f>B10+60</f>
        <v>974.24657500000001</v>
      </c>
      <c r="D20" s="5">
        <f>B10+25</f>
        <v>939.24657500000001</v>
      </c>
      <c r="E20" s="5">
        <f>B10+25</f>
        <v>939.24657500000001</v>
      </c>
      <c r="F20" s="5">
        <f>B10</f>
        <v>914.24657500000001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</row>
    <row r="21" spans="1:15" x14ac:dyDescent="0.3">
      <c r="A21" s="1">
        <v>1</v>
      </c>
      <c r="B21" s="5">
        <v>1</v>
      </c>
      <c r="C21" s="5">
        <v>1</v>
      </c>
      <c r="D21" s="5">
        <v>1</v>
      </c>
      <c r="E21" s="5">
        <v>1</v>
      </c>
      <c r="F21" s="5">
        <v>1</v>
      </c>
    </row>
    <row r="22" spans="1:15" x14ac:dyDescent="0.3">
      <c r="K22" t="s">
        <v>38</v>
      </c>
    </row>
    <row r="23" spans="1:15" x14ac:dyDescent="0.3">
      <c r="A23" s="1" t="s">
        <v>19</v>
      </c>
      <c r="B23" s="7" t="s">
        <v>20</v>
      </c>
      <c r="C23" s="7" t="s">
        <v>21</v>
      </c>
      <c r="D23" s="7" t="s">
        <v>22</v>
      </c>
      <c r="E23" s="7" t="s">
        <v>23</v>
      </c>
      <c r="F23" s="7" t="s">
        <v>20</v>
      </c>
      <c r="K23" s="10" cm="1">
        <f t="array" ref="K23:O25">MMULT(Transform!E7:G9,Object!B24:F26)</f>
        <v>1041.9222838377118</v>
      </c>
      <c r="L23" s="10">
        <v>994.20144907881604</v>
      </c>
      <c r="M23" s="10">
        <v>1026.2053211429175</v>
      </c>
      <c r="N23" s="10">
        <v>1078.4981376252565</v>
      </c>
      <c r="O23" s="10">
        <v>1078.4981376252565</v>
      </c>
    </row>
    <row r="24" spans="1:15" x14ac:dyDescent="0.3">
      <c r="A24" s="1" t="s">
        <v>7</v>
      </c>
      <c r="B24" s="7">
        <f>B9+60</f>
        <v>1060</v>
      </c>
      <c r="C24" s="7">
        <f>B9+45</f>
        <v>1045</v>
      </c>
      <c r="D24" s="7">
        <f>B9+80</f>
        <v>1080</v>
      </c>
      <c r="E24" s="7">
        <f>B9+100</f>
        <v>1100</v>
      </c>
      <c r="F24" s="7">
        <f>B9+100</f>
        <v>1100</v>
      </c>
      <c r="K24" s="10">
        <v>988.73618515463124</v>
      </c>
      <c r="L24" s="10">
        <v>1059.4731763962309</v>
      </c>
      <c r="M24" s="10">
        <v>1073.6418803914671</v>
      </c>
      <c r="N24" s="10">
        <v>1004.9289897206155</v>
      </c>
      <c r="O24" s="10">
        <v>1004.9289897206155</v>
      </c>
    </row>
    <row r="25" spans="1:15" x14ac:dyDescent="0.3">
      <c r="A25" s="1" t="s">
        <v>8</v>
      </c>
      <c r="B25" s="7">
        <f>B10+91</f>
        <v>1005.246575</v>
      </c>
      <c r="C25" s="7">
        <f>B10+175</f>
        <v>1089.2465750000001</v>
      </c>
      <c r="D25" s="7">
        <f>B10+175</f>
        <v>1089.2465750000001</v>
      </c>
      <c r="E25" s="7">
        <f>B10+91</f>
        <v>1005.246575</v>
      </c>
      <c r="F25" s="7">
        <f>B10+91</f>
        <v>1005.246575</v>
      </c>
      <c r="K25" s="10">
        <v>1</v>
      </c>
      <c r="L25" s="10">
        <v>1</v>
      </c>
      <c r="M25" s="10">
        <v>1</v>
      </c>
      <c r="N25" s="10">
        <v>1</v>
      </c>
      <c r="O25" s="10">
        <v>1</v>
      </c>
    </row>
    <row r="26" spans="1:15" x14ac:dyDescent="0.3">
      <c r="A26" s="1">
        <v>1</v>
      </c>
      <c r="B26" s="6">
        <v>1</v>
      </c>
      <c r="C26" s="6">
        <v>1</v>
      </c>
      <c r="D26" s="6">
        <v>1</v>
      </c>
      <c r="E26" s="6">
        <v>1</v>
      </c>
      <c r="F26" s="6">
        <v>1</v>
      </c>
    </row>
    <row r="27" spans="1:15" x14ac:dyDescent="0.3">
      <c r="K27" t="s">
        <v>39</v>
      </c>
    </row>
    <row r="28" spans="1:15" x14ac:dyDescent="0.3">
      <c r="A28" s="1" t="s">
        <v>24</v>
      </c>
      <c r="B28" s="8" t="s">
        <v>25</v>
      </c>
      <c r="C28" s="8" t="s">
        <v>26</v>
      </c>
      <c r="D28" s="8" t="s">
        <v>27</v>
      </c>
      <c r="E28" s="8" t="s">
        <v>28</v>
      </c>
      <c r="F28" s="8" t="s">
        <v>25</v>
      </c>
      <c r="K28" s="6" cm="1">
        <f t="array" ref="K28:O30">MMULT(Transform!E7:G9,Object!B29:F31)</f>
        <v>1078.7609142253257</v>
      </c>
      <c r="L28" s="6">
        <v>1115.3367680128704</v>
      </c>
      <c r="M28" s="6">
        <v>1135.5067519633103</v>
      </c>
      <c r="N28" s="6">
        <v>1108.074861622652</v>
      </c>
      <c r="O28" s="6">
        <v>1078.7609142253257</v>
      </c>
    </row>
    <row r="29" spans="1:15" x14ac:dyDescent="0.3">
      <c r="A29" s="1" t="s">
        <v>7</v>
      </c>
      <c r="B29" s="8">
        <f>B9+60</f>
        <v>1060</v>
      </c>
      <c r="C29" s="8">
        <f>B9+100</f>
        <v>1100</v>
      </c>
      <c r="D29" s="8">
        <f>B9+80</f>
        <v>1080</v>
      </c>
      <c r="E29" s="8">
        <f>B9+50</f>
        <v>1050</v>
      </c>
      <c r="F29" s="8">
        <f>B9+60</f>
        <v>1060</v>
      </c>
      <c r="K29" s="6">
        <v>905.52611778796711</v>
      </c>
      <c r="L29" s="6">
        <v>921.71892235395137</v>
      </c>
      <c r="M29" s="6">
        <v>826.75486732554066</v>
      </c>
      <c r="N29" s="6">
        <v>814.61026390105269</v>
      </c>
      <c r="O29" s="6">
        <v>905.52611778796711</v>
      </c>
    </row>
    <row r="30" spans="1:15" x14ac:dyDescent="0.3">
      <c r="A30" s="1" t="s">
        <v>8</v>
      </c>
      <c r="B30" s="8">
        <f>B10</f>
        <v>914.24657500000001</v>
      </c>
      <c r="C30" s="8">
        <f>B10</f>
        <v>914.24657500000001</v>
      </c>
      <c r="D30" s="8">
        <f>B10-95</f>
        <v>819.24657500000001</v>
      </c>
      <c r="E30" s="8">
        <f>B10-95</f>
        <v>819.24657500000001</v>
      </c>
      <c r="F30" s="8">
        <f>B10</f>
        <v>914.24657500000001</v>
      </c>
      <c r="K30" s="6">
        <v>1</v>
      </c>
      <c r="L30" s="6">
        <v>1</v>
      </c>
      <c r="M30" s="6">
        <v>1</v>
      </c>
      <c r="N30" s="6">
        <v>1</v>
      </c>
      <c r="O30" s="6">
        <v>1</v>
      </c>
    </row>
    <row r="31" spans="1:15" x14ac:dyDescent="0.3">
      <c r="A31" s="1">
        <v>1</v>
      </c>
      <c r="B31" s="8">
        <v>1</v>
      </c>
      <c r="C31" s="8">
        <v>1</v>
      </c>
      <c r="D31" s="8">
        <v>1</v>
      </c>
      <c r="E31" s="8">
        <v>1</v>
      </c>
      <c r="F31" s="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B2989-EA70-4DDD-BADD-BD994972489A}">
  <sheetPr codeName="Sheet2"/>
  <dimension ref="A1:F26"/>
  <sheetViews>
    <sheetView workbookViewId="0">
      <selection activeCell="C25" sqref="C25"/>
    </sheetView>
  </sheetViews>
  <sheetFormatPr defaultRowHeight="14.4" x14ac:dyDescent="0.3"/>
  <cols>
    <col min="1" max="1" width="18.109375" customWidth="1"/>
  </cols>
  <sheetData>
    <row r="1" spans="1:6" x14ac:dyDescent="0.3">
      <c r="A1" s="11" t="s">
        <v>29</v>
      </c>
      <c r="B1" s="11"/>
    </row>
    <row r="2" spans="1:6" x14ac:dyDescent="0.3">
      <c r="A2" s="8" t="s">
        <v>30</v>
      </c>
      <c r="B2" s="8" t="s">
        <v>31</v>
      </c>
    </row>
    <row r="3" spans="1:6" x14ac:dyDescent="0.3">
      <c r="A3" s="8">
        <v>0</v>
      </c>
      <c r="B3" s="8">
        <v>0</v>
      </c>
    </row>
    <row r="4" spans="1:6" x14ac:dyDescent="0.3">
      <c r="A4" s="10"/>
      <c r="B4" s="10"/>
      <c r="D4" s="10"/>
      <c r="E4" s="10"/>
      <c r="F4" s="10"/>
    </row>
    <row r="5" spans="1:6" x14ac:dyDescent="0.3">
      <c r="A5" s="8" t="s">
        <v>32</v>
      </c>
      <c r="B5" s="10" t="s">
        <v>40</v>
      </c>
      <c r="D5" s="10"/>
      <c r="E5" s="8" t="s">
        <v>41</v>
      </c>
      <c r="F5" s="10"/>
    </row>
    <row r="6" spans="1:6" x14ac:dyDescent="0.3">
      <c r="A6" s="8">
        <v>23.879855060583349</v>
      </c>
      <c r="B6" s="10">
        <v>0</v>
      </c>
      <c r="D6" s="10"/>
      <c r="E6" s="10"/>
      <c r="F6" s="10"/>
    </row>
    <row r="7" spans="1:6" x14ac:dyDescent="0.3">
      <c r="D7" s="10"/>
      <c r="E7" s="10"/>
      <c r="F7" s="10"/>
    </row>
    <row r="8" spans="1:6" x14ac:dyDescent="0.3">
      <c r="D8" s="10"/>
      <c r="E8" s="10"/>
      <c r="F8" s="10"/>
    </row>
    <row r="9" spans="1:6" x14ac:dyDescent="0.3">
      <c r="D9" s="10"/>
      <c r="E9" s="10"/>
      <c r="F9" s="10"/>
    </row>
    <row r="10" spans="1:6" x14ac:dyDescent="0.3">
      <c r="D10" s="10"/>
      <c r="E10" s="10"/>
      <c r="F10" s="10"/>
    </row>
    <row r="11" spans="1:6" x14ac:dyDescent="0.3">
      <c r="D11" s="10"/>
      <c r="E11" s="10"/>
      <c r="F11" s="10"/>
    </row>
    <row r="12" spans="1:6" x14ac:dyDescent="0.3">
      <c r="D12" s="10"/>
      <c r="E12" s="10"/>
      <c r="F12" s="10"/>
    </row>
    <row r="13" spans="1:6" x14ac:dyDescent="0.3">
      <c r="D13" s="10"/>
      <c r="E13" s="10"/>
      <c r="F13" s="10"/>
    </row>
    <row r="14" spans="1:6" x14ac:dyDescent="0.3">
      <c r="D14" s="10"/>
      <c r="E14" s="10"/>
      <c r="F14" s="10"/>
    </row>
    <row r="15" spans="1:6" x14ac:dyDescent="0.3">
      <c r="D15" s="10"/>
      <c r="E15" s="8" t="s">
        <v>40</v>
      </c>
      <c r="F15" s="10"/>
    </row>
    <row r="16" spans="1:6" x14ac:dyDescent="0.3">
      <c r="D16" s="10"/>
      <c r="E16" s="10"/>
      <c r="F16" s="10"/>
    </row>
    <row r="17" spans="4:6" x14ac:dyDescent="0.3">
      <c r="D17" s="10"/>
      <c r="E17" s="10"/>
      <c r="F17" s="10"/>
    </row>
    <row r="18" spans="4:6" x14ac:dyDescent="0.3">
      <c r="D18" s="10"/>
      <c r="E18" s="10"/>
      <c r="F18" s="10"/>
    </row>
    <row r="19" spans="4:6" x14ac:dyDescent="0.3">
      <c r="D19" s="10"/>
      <c r="E19" s="10"/>
      <c r="F19" s="10"/>
    </row>
    <row r="20" spans="4:6" x14ac:dyDescent="0.3">
      <c r="D20" s="10"/>
      <c r="E20" s="10"/>
      <c r="F20" s="10"/>
    </row>
    <row r="21" spans="4:6" x14ac:dyDescent="0.3">
      <c r="D21" s="10"/>
      <c r="E21" s="10"/>
      <c r="F21" s="10"/>
    </row>
    <row r="22" spans="4:6" x14ac:dyDescent="0.3">
      <c r="D22" s="10"/>
      <c r="E22" s="10"/>
      <c r="F22" s="10"/>
    </row>
    <row r="23" spans="4:6" x14ac:dyDescent="0.3">
      <c r="D23" s="10"/>
      <c r="E23" s="10"/>
      <c r="F23" s="10"/>
    </row>
    <row r="24" spans="4:6" x14ac:dyDescent="0.3">
      <c r="D24" s="10"/>
      <c r="E24" s="10"/>
      <c r="F24" s="10"/>
    </row>
    <row r="25" spans="4:6" x14ac:dyDescent="0.3">
      <c r="D25" s="10"/>
      <c r="E25" s="10"/>
      <c r="F25" s="10"/>
    </row>
    <row r="26" spans="4:6" x14ac:dyDescent="0.3">
      <c r="D26" s="10"/>
      <c r="E26" s="10"/>
      <c r="F26" s="10"/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Spinner 4">
              <controlPr defaultSize="0" autoPict="0" macro="[0]!spin_1">
                <anchor moveWithCells="1" sizeWithCells="1">
                  <from>
                    <xdr:col>3</xdr:col>
                    <xdr:colOff>601980</xdr:colOff>
                    <xdr:row>15</xdr:row>
                    <xdr:rowOff>15240</xdr:rowOff>
                  </from>
                  <to>
                    <xdr:col>5</xdr:col>
                    <xdr:colOff>15240</xdr:colOff>
                    <xdr:row>19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eset_1">
                <anchor moveWithCells="1">
                  <from>
                    <xdr:col>3</xdr:col>
                    <xdr:colOff>114300</xdr:colOff>
                    <xdr:row>10</xdr:row>
                    <xdr:rowOff>160020</xdr:rowOff>
                  </from>
                  <to>
                    <xdr:col>4</xdr:col>
                    <xdr:colOff>220980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bee_line_1">
                <anchor moveWithCells="1">
                  <from>
                    <xdr:col>3</xdr:col>
                    <xdr:colOff>320040</xdr:colOff>
                    <xdr:row>6</xdr:row>
                    <xdr:rowOff>60960</xdr:rowOff>
                  </from>
                  <to>
                    <xdr:col>5</xdr:col>
                    <xdr:colOff>220980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animate">
                <anchor moveWithCells="1">
                  <from>
                    <xdr:col>3</xdr:col>
                    <xdr:colOff>320040</xdr:colOff>
                    <xdr:row>9</xdr:row>
                    <xdr:rowOff>68580</xdr:rowOff>
                  </from>
                  <to>
                    <xdr:col>5</xdr:col>
                    <xdr:colOff>228600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bee_line_2">
                <anchor moveWithCells="1">
                  <from>
                    <xdr:col>3</xdr:col>
                    <xdr:colOff>320040</xdr:colOff>
                    <xdr:row>7</xdr:row>
                    <xdr:rowOff>152400</xdr:rowOff>
                  </from>
                  <to>
                    <xdr:col>5</xdr:col>
                    <xdr:colOff>228600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reset_2">
                <anchor moveWithCells="1">
                  <from>
                    <xdr:col>4</xdr:col>
                    <xdr:colOff>259080</xdr:colOff>
                    <xdr:row>10</xdr:row>
                    <xdr:rowOff>152400</xdr:rowOff>
                  </from>
                  <to>
                    <xdr:col>5</xdr:col>
                    <xdr:colOff>403860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6A935-1F0D-44B3-A52E-17112FEE4D9F}">
  <sheetPr codeName="Sheet3"/>
  <dimension ref="A1:M9"/>
  <sheetViews>
    <sheetView workbookViewId="0">
      <selection activeCell="J15" sqref="J15"/>
    </sheetView>
  </sheetViews>
  <sheetFormatPr defaultRowHeight="14.4" x14ac:dyDescent="0.3"/>
  <cols>
    <col min="1" max="1" width="10.88671875" customWidth="1"/>
  </cols>
  <sheetData>
    <row r="1" spans="1:13" x14ac:dyDescent="0.3">
      <c r="A1" s="9">
        <v>3</v>
      </c>
      <c r="B1" s="9"/>
      <c r="F1" s="9">
        <v>2</v>
      </c>
      <c r="G1" s="9"/>
      <c r="L1" s="9">
        <v>1</v>
      </c>
      <c r="M1" s="9"/>
    </row>
    <row r="2" spans="1:13" x14ac:dyDescent="0.3">
      <c r="A2" s="15">
        <v>1</v>
      </c>
      <c r="B2" s="15">
        <v>0</v>
      </c>
      <c r="C2" s="15">
        <f>Object!E1</f>
        <v>1090</v>
      </c>
      <c r="E2" s="16">
        <f>COS(RADIANS(Interface!A6))</f>
        <v>0.91439634468861608</v>
      </c>
      <c r="F2" s="16">
        <f>-E3</f>
        <v>-0.40482011414960306</v>
      </c>
      <c r="G2" s="15">
        <v>0</v>
      </c>
      <c r="K2" s="15">
        <v>1</v>
      </c>
      <c r="L2" s="15">
        <v>0</v>
      </c>
      <c r="M2" s="15">
        <f>-C2</f>
        <v>-1090</v>
      </c>
    </row>
    <row r="3" spans="1:13" x14ac:dyDescent="0.3">
      <c r="A3" s="15">
        <v>0</v>
      </c>
      <c r="B3" s="15">
        <v>1</v>
      </c>
      <c r="C3" s="15">
        <f>Object!E2</f>
        <v>954.24657500000001</v>
      </c>
      <c r="E3" s="16">
        <f>SIN(RADIANS(Interface!A6))</f>
        <v>0.40482011414960306</v>
      </c>
      <c r="F3" s="16">
        <f>E2</f>
        <v>0.91439634468861608</v>
      </c>
      <c r="G3" s="15">
        <v>0</v>
      </c>
      <c r="K3" s="15">
        <v>0</v>
      </c>
      <c r="L3" s="15">
        <v>1</v>
      </c>
      <c r="M3" s="15">
        <f>-C3</f>
        <v>-954.24657500000001</v>
      </c>
    </row>
    <row r="4" spans="1:13" x14ac:dyDescent="0.3">
      <c r="A4" s="15">
        <v>0</v>
      </c>
      <c r="B4" s="15">
        <v>0</v>
      </c>
      <c r="C4" s="15">
        <v>1</v>
      </c>
      <c r="E4" s="15">
        <v>0</v>
      </c>
      <c r="F4" s="15">
        <v>0</v>
      </c>
      <c r="G4" s="15">
        <v>1</v>
      </c>
      <c r="K4" s="15">
        <v>0</v>
      </c>
      <c r="L4" s="15">
        <v>0</v>
      </c>
      <c r="M4" s="15">
        <v>1</v>
      </c>
    </row>
    <row r="6" spans="1:13" x14ac:dyDescent="0.3">
      <c r="A6" s="12" t="s">
        <v>33</v>
      </c>
      <c r="E6" s="13" t="s">
        <v>34</v>
      </c>
    </row>
    <row r="7" spans="1:13" x14ac:dyDescent="0.3">
      <c r="A7" s="16" cm="1">
        <f t="array" ref="A7:C9">MMULT(A2:C4,E2:G4)</f>
        <v>0.91439634468861608</v>
      </c>
      <c r="B7" s="15">
        <v>-0.40482011414960306</v>
      </c>
      <c r="C7" s="15">
        <v>1090</v>
      </c>
      <c r="E7" s="16" cm="1">
        <f t="array" ref="E7:G9">MMULT(A7:C9,K2:M4)</f>
        <v>0.91439634468861608</v>
      </c>
      <c r="F7" s="15">
        <v>-0.40482011414960306</v>
      </c>
      <c r="G7" s="15">
        <v>479.60619170777636</v>
      </c>
    </row>
    <row r="8" spans="1:13" x14ac:dyDescent="0.3">
      <c r="A8" s="16">
        <v>0.40482011414960306</v>
      </c>
      <c r="B8" s="16">
        <v>0.91439634468861608</v>
      </c>
      <c r="C8" s="15">
        <v>954.24657500000001</v>
      </c>
      <c r="E8" s="16">
        <v>0.40482011414960306</v>
      </c>
      <c r="F8" s="16">
        <v>0.91439634468861608</v>
      </c>
      <c r="G8" s="15">
        <v>-359.56692953469872</v>
      </c>
    </row>
    <row r="9" spans="1:13" x14ac:dyDescent="0.3">
      <c r="A9" s="15">
        <v>0</v>
      </c>
      <c r="B9" s="15">
        <v>0</v>
      </c>
      <c r="C9" s="15">
        <v>1</v>
      </c>
      <c r="E9" s="15">
        <v>0</v>
      </c>
      <c r="F9" s="15">
        <v>0</v>
      </c>
      <c r="G9" s="15">
        <v>1</v>
      </c>
    </row>
  </sheetData>
  <mergeCells count="3">
    <mergeCell ref="A1:B1"/>
    <mergeCell ref="F1:G1"/>
    <mergeCell ref="L1:M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Object</vt:lpstr>
      <vt:lpstr>Interface</vt:lpstr>
      <vt:lpstr>Transform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(20105747) Annetta Hawkins</dc:creator>
  <cp:keywords/>
  <dc:description/>
  <cp:lastModifiedBy>(20105747) Annetta Hawkins</cp:lastModifiedBy>
  <cp:revision/>
  <dcterms:created xsi:type="dcterms:W3CDTF">2025-09-23T13:29:22Z</dcterms:created>
  <dcterms:modified xsi:type="dcterms:W3CDTF">2025-10-23T19:30:29Z</dcterms:modified>
  <cp:category/>
  <cp:contentStatus/>
</cp:coreProperties>
</file>